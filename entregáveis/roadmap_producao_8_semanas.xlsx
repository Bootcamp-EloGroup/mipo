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 8 Seman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<sst xmlns="http://schemas.openxmlformats.org/spreadsheetml/2006/main" count="89" uniqueCount="88">
  <si>
    <t xml:space="preserve">Roadmap de Produção — 8 Semanas</t>
  </si>
  <si>
    <t xml:space="preserve">MIPO · Vértice Retail — fase seguinte ao MVP de 11 dias (demo), não uma substituta dela.</t>
  </si>
  <si>
    <t xml:space="preserve">Fases do projeto</t>
  </si>
  <si>
    <t xml:space="preserve">Fase</t>
  </si>
  <si>
    <t xml:space="preserve">Escopo</t>
  </si>
  <si>
    <t xml:space="preserve">Fase 0</t>
  </si>
  <si>
    <t xml:space="preserve">MVP — 11 dias, dados mockados (demo)</t>
  </si>
  <si>
    <t xml:space="preserve">Concluída</t>
  </si>
  <si>
    <t xml:space="preserve">Fase 1</t>
  </si>
  <si>
    <t xml:space="preserve">Produção — orientação de tamanho, 8 semanas (este roadmap)</t>
  </si>
  <si>
    <t xml:space="preserve">Em andamento</t>
  </si>
  <si>
    <t xml:space="preserve">Fase 2</t>
  </si>
  <si>
    <t xml:space="preserve">WISMO — condicional ao gate da Semana 7</t>
  </si>
  <si>
    <t xml:space="preserve">Backlog</t>
  </si>
  <si>
    <t xml:space="preserve">Semana a semana</t>
  </si>
  <si>
    <t xml:space="preserve">Semana</t>
  </si>
  <si>
    <t xml:space="preserve">Foco</t>
  </si>
  <si>
    <t xml:space="preserve">Perfis envolvidos</t>
  </si>
  <si>
    <t xml:space="preserve">Entrega principal</t>
  </si>
  <si>
    <t xml:space="preserve">Marco</t>
  </si>
  <si>
    <t xml:space="preserve">Sem. 1</t>
  </si>
  <si>
    <t xml:space="preserve">Fundação de produção</t>
  </si>
  <si>
    <t xml:space="preserve">Eng. Dados, Ciência de Dados, Gestão</t>
  </si>
  <si>
    <t xml:space="preserve">Pipeline de produção rodando (dado real, não mockado); motor de risco do MVP recalibrado por categoria/SKU real; kickoff com TI da Vértice.</t>
  </si>
  <si>
    <t xml:space="preserve">Sem. 2</t>
  </si>
  <si>
    <t xml:space="preserve">Segurança, dados e compliance</t>
  </si>
  <si>
    <t xml:space="preserve">Eng. Dados, Eng. Produto, Gestão</t>
  </si>
  <si>
    <t xml:space="preserve">Mascaramento/anonimização de PII, política de retenção, revisão LGPD; contrato de API de checkout definido; plano de rollback do piloto.</t>
  </si>
  <si>
    <t xml:space="preserve">Sem. 3</t>
  </si>
  <si>
    <t xml:space="preserve">Motor de risco produção-grade + observabilidade</t>
  </si>
  <si>
    <t xml:space="preserve">Ciência de Dados, Eng. Dados</t>
  </si>
  <si>
    <t xml:space="preserve">Motor testado em dado real (regressão); auditoria persistida em banco de produção; dashboards de observabilidade e monitoramento de deriva nas taxas.</t>
  </si>
  <si>
    <t xml:space="preserve">Sem. 4</t>
  </si>
  <si>
    <t xml:space="preserve">Checkout de produção + checkpoint</t>
  </si>
  <si>
    <t xml:space="preserve">Eng. Produto, Ciência de Dados, Gestão</t>
  </si>
  <si>
    <t xml:space="preserve">Checkout integrado via API ao ambiente real/staging; mensagens ao cliente auditadas; aprovação da diretoria para iniciar o piloto.</t>
  </si>
  <si>
    <t xml:space="preserve">◆ Checkpoint de sincronização</t>
  </si>
  <si>
    <t xml:space="preserve">Sem. 5</t>
  </si>
  <si>
    <t xml:space="preserve">Piloto controlado</t>
  </si>
  <si>
    <t xml:space="preserve">Squad completa</t>
  </si>
  <si>
    <t xml:space="preserve">Rollout parcial (uma categoria/canal) com grupo de controle — resolve a limitação de causalidade apontada nos notebooks ('associação não implica causalidade').</t>
  </si>
  <si>
    <t xml:space="preserve">Sem. 6</t>
  </si>
  <si>
    <t xml:space="preserve">Análise do piloto e recalibração</t>
  </si>
  <si>
    <t xml:space="preserve">Ciência de Dados, Eng. Produto, Gestão</t>
  </si>
  <si>
    <t xml:space="preserve">Comparação tratamento vs. controle; taxa de aceite e redução de devolução passam de estimativa (ASSUNÇÃO) para dado real; business case atualizado.</t>
  </si>
  <si>
    <t xml:space="preserve">Sem. 7</t>
  </si>
  <si>
    <t xml:space="preserve">Gate de decisão — WISMO</t>
  </si>
  <si>
    <t xml:space="preserve">Decisão formal Go/No-Go para abrir a Fase 2; relatório de validação final do motor de risco em produção.</t>
  </si>
  <si>
    <t xml:space="preserve">◆ Gate de decisão</t>
  </si>
  <si>
    <t xml:space="preserve">Sem. 8</t>
  </si>
  <si>
    <t xml:space="preserve">Rollout completo e handover</t>
  </si>
  <si>
    <t xml:space="preserve">Eng. Produto, Gestão</t>
  </si>
  <si>
    <t xml:space="preserve">Checkout expandido a 100% do catálogo elegível; handover para operação; relatório executivo final e retrospectiva.</t>
  </si>
  <si>
    <t xml:space="preserve">Horas e custo por perfil (mesmo dimensionamento do business case)</t>
  </si>
  <si>
    <t xml:space="preserve">Perfil</t>
  </si>
  <si>
    <t xml:space="preserve">Foco nesta fase</t>
  </si>
  <si>
    <t xml:space="preserve">Horas totais</t>
  </si>
  <si>
    <t xml:space="preserve">Custo/hora</t>
  </si>
  <si>
    <t xml:space="preserve">Custo total</t>
  </si>
  <si>
    <t xml:space="preserve">Média/semana</t>
  </si>
  <si>
    <t xml:space="preserve">Engenharia de Dados</t>
  </si>
  <si>
    <t xml:space="preserve">Pipelines de produção, segurança de dados, observabilidade</t>
  </si>
  <si>
    <t xml:space="preserve">Ciência de Dados</t>
  </si>
  <si>
    <t xml:space="preserve">Motor de risco produção-grade, análise do piloto</t>
  </si>
  <si>
    <t xml:space="preserve">Engenharia de Produto</t>
  </si>
  <si>
    <t xml:space="preserve">Checkout de produção, API, UX pós-piloto</t>
  </si>
  <si>
    <t xml:space="preserve">Gestão de Projeto</t>
  </si>
  <si>
    <t xml:space="preserve">Checkpoints, gate de decisão, handover</t>
  </si>
  <si>
    <t xml:space="preserve">Total</t>
  </si>
  <si>
    <t xml:space="preserve">—</t>
  </si>
  <si>
    <t xml:space="preserve">Estas horas cobrem apenas a orientação de tamanho (pré-venda). Se o gate da Semana 7 liberar o WISMO, a Fase 2 precisa de dimensionamento próprio — não cabe dentro destas 780h.</t>
  </si>
  <si>
    <t xml:space="preserve">Gate de decisão — o que libera a Fase 2 (WISMO)</t>
  </si>
  <si>
    <t xml:space="preserve">Condição</t>
  </si>
  <si>
    <t xml:space="preserve">Se cumprida</t>
  </si>
  <si>
    <t xml:space="preserve">Se não cumprida</t>
  </si>
  <si>
    <t xml:space="preserve">Checkout de produção rodando sem incidentes de segurança</t>
  </si>
  <si>
    <t xml:space="preserve">Fase 2 (WISMO) pode ser aberta como projeto seguinte, reaproveitando a fatia de orçamento reservada.</t>
  </si>
  <si>
    <t xml:space="preserve">WISMO permanece no backlog — nenhuma hora de squad alocada a ele. Semana 8 foca em fechar as lacunas do gate; novo gate é remarcado, não descartado.</t>
  </si>
  <si>
    <t xml:space="preserve">Trilha de auditoria completa e revisada (todo evento rastreável)</t>
  </si>
  <si>
    <t xml:space="preserve">Piloto controlado validou taxa de aceite e redução de devolução com dado real</t>
  </si>
  <si>
    <t xml:space="preserve">Business case atualizado com números do piloto, não mais só estimativas</t>
  </si>
  <si>
    <t xml:space="preserve">Depois do rollout (fim da Semana 8)</t>
  </si>
  <si>
    <t xml:space="preserve">Tópico</t>
  </si>
  <si>
    <t xml:space="preserve">O que acontece</t>
  </si>
  <si>
    <t xml:space="preserve">Manutenção</t>
  </si>
  <si>
    <t xml:space="preserve">Passa para o regime já dimensionado no business case: 36h/mês entre os três perfis técnicos + infraestrutura, R$ 74.160/ano. Não é uma fase nova a planejar — já está orçada.</t>
  </si>
  <si>
    <t xml:space="preserve">Fase 2 (WISMO), se aprovada</t>
  </si>
  <si>
    <t xml:space="preserve">Vira um projeto próprio, com dimensionamento de horas e custo específico. Reaproveita o aprendizado de segurança e auditoria desta fase, mas não reaproveita as 780h, que já foram consumidas pela orientação de tamanho.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</si>
</sst>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&quot;R$ &quot;#,##0.00;&quot;(R$ &quot;#,##0.00\);\-"/>
    <numFmt numFmtId="167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234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2340"/>
        <bgColor rgb="FF333333"/>
      </patternFill>
    </fill>
    <fill>
      <patternFill patternType="solid">
        <fgColor rgb="FF333333"/>
        <bgColor rgb="FF333300"/>
      </patternFill>
    </fill>
    <fill>
      <patternFill patternType="solid">
        <fgColor rgb="FFE6F4EC"/>
        <bgColor rgb="FFEFE9F7"/>
      </patternFill>
    </fill>
    <fill>
      <patternFill patternType="solid">
        <fgColor rgb="FFF5E6C8"/>
        <bgColor rgb="FFFBEADE"/>
      </patternFill>
    </fill>
    <fill>
      <patternFill patternType="solid">
        <fgColor rgb="FFEFE9F7"/>
        <bgColor rgb="FFE6F4EC"/>
      </patternFill>
    </fill>
    <fill>
      <patternFill patternType="solid">
        <fgColor rgb="FFD9E1F2"/>
        <bgColor rgb="FFEFE9F7"/>
      </patternFill>
    </fill>
    <fill>
      <patternFill patternType="solid">
        <fgColor rgb="FFFBEADE"/>
        <bgColor rgb="FFF5E6C8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BEADE"/>
      <rgbColor rgb="FFE6F4EC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9F7"/>
      <rgbColor rgb="FFCCFFCC"/>
      <rgbColor rgb="FFF5E6C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F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20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true" outlineLevel="0" collapsed="false">
      <c r="A5" s="4" t="s">
        <v>3</v>
      </c>
      <c r="B5" s="4" t="s">
        <v>4</v>
      </c>
      <c r="C5" s="4"/>
      <c r="D5" s="4"/>
      <c r="E5" s="4"/>
      <c r="F5" s="4"/>
    </row>
    <row r="6" customFormat="false" ht="15" hidden="false" customHeight="true" outlineLevel="0" collapsed="false">
      <c r="A6" s="5" t="s">
        <v>5</v>
      </c>
      <c r="B6" s="6" t="s">
        <v>6</v>
      </c>
      <c r="C6" s="6"/>
      <c r="D6" s="7" t="s">
        <v>7</v>
      </c>
      <c r="E6" s="7"/>
      <c r="F6" s="7"/>
    </row>
    <row r="7" customFormat="false" ht="26.85" hidden="false" customHeight="true" outlineLevel="0" collapsed="false">
      <c r="A7" s="5" t="s">
        <v>8</v>
      </c>
      <c r="B7" s="6" t="s">
        <v>9</v>
      </c>
      <c r="C7" s="6"/>
      <c r="D7" s="8" t="s">
        <v>10</v>
      </c>
      <c r="E7" s="8"/>
      <c r="F7" s="8"/>
    </row>
    <row r="8" customFormat="false" ht="15" hidden="false" customHeight="true" outlineLevel="0" collapsed="false">
      <c r="A8" s="5" t="s">
        <v>11</v>
      </c>
      <c r="B8" s="6" t="s">
        <v>12</v>
      </c>
      <c r="C8" s="6"/>
      <c r="D8" s="9" t="s">
        <v>13</v>
      </c>
      <c r="E8" s="9"/>
      <c r="F8" s="9"/>
    </row>
    <row r="10" customFormat="false" ht="19.5" hidden="false" customHeight="true" outlineLevel="0" collapsed="false">
      <c r="A10" s="3" t="s">
        <v>14</v>
      </c>
      <c r="B10" s="3"/>
      <c r="C10" s="3"/>
      <c r="D10" s="3"/>
      <c r="E10" s="3"/>
      <c r="F10" s="3"/>
    </row>
    <row r="11" customFormat="false" ht="15" hidden="false" customHeight="true" outlineLevel="0" collapsed="false">
      <c r="A11" s="4" t="s">
        <v>15</v>
      </c>
      <c r="B11" s="4" t="s">
        <v>16</v>
      </c>
      <c r="C11" s="4" t="s">
        <v>17</v>
      </c>
      <c r="D11" s="4" t="s">
        <v>18</v>
      </c>
      <c r="E11" s="4" t="s">
        <v>19</v>
      </c>
      <c r="F11" s="4"/>
    </row>
    <row r="12" customFormat="false" ht="60" hidden="false" customHeight="true" outlineLevel="0" collapsed="false">
      <c r="A12" s="5" t="s">
        <v>20</v>
      </c>
      <c r="B12" s="10" t="s">
        <v>21</v>
      </c>
      <c r="C12" s="6" t="s">
        <v>22</v>
      </c>
      <c r="D12" s="6" t="s">
        <v>23</v>
      </c>
      <c r="E12" s="11"/>
      <c r="F12" s="11"/>
    </row>
    <row r="13" customFormat="false" ht="60" hidden="false" customHeight="true" outlineLevel="0" collapsed="false">
      <c r="A13" s="5" t="s">
        <v>24</v>
      </c>
      <c r="B13" s="10" t="s">
        <v>25</v>
      </c>
      <c r="C13" s="6" t="s">
        <v>26</v>
      </c>
      <c r="D13" s="6" t="s">
        <v>27</v>
      </c>
      <c r="E13" s="11"/>
      <c r="F13" s="11"/>
    </row>
    <row r="14" customFormat="false" ht="60" hidden="false" customHeight="true" outlineLevel="0" collapsed="false">
      <c r="A14" s="5" t="s">
        <v>28</v>
      </c>
      <c r="B14" s="10" t="s">
        <v>29</v>
      </c>
      <c r="C14" s="6" t="s">
        <v>30</v>
      </c>
      <c r="D14" s="6" t="s">
        <v>31</v>
      </c>
      <c r="E14" s="11"/>
      <c r="F14" s="11"/>
    </row>
    <row r="15" customFormat="false" ht="60" hidden="false" customHeight="true" outlineLevel="0" collapsed="false">
      <c r="A15" s="12" t="s">
        <v>32</v>
      </c>
      <c r="B15" s="13" t="s">
        <v>33</v>
      </c>
      <c r="C15" s="14" t="s">
        <v>34</v>
      </c>
      <c r="D15" s="14" t="s">
        <v>35</v>
      </c>
      <c r="E15" s="15" t="s">
        <v>36</v>
      </c>
      <c r="F15" s="15"/>
    </row>
    <row r="16" customFormat="false" ht="60" hidden="false" customHeight="true" outlineLevel="0" collapsed="false">
      <c r="A16" s="5" t="s">
        <v>37</v>
      </c>
      <c r="B16" s="10" t="s">
        <v>38</v>
      </c>
      <c r="C16" s="6" t="s">
        <v>39</v>
      </c>
      <c r="D16" s="6" t="s">
        <v>40</v>
      </c>
      <c r="E16" s="11"/>
      <c r="F16" s="11"/>
    </row>
    <row r="17" customFormat="false" ht="60" hidden="false" customHeight="true" outlineLevel="0" collapsed="false">
      <c r="A17" s="5" t="s">
        <v>41</v>
      </c>
      <c r="B17" s="10" t="s">
        <v>42</v>
      </c>
      <c r="C17" s="6" t="s">
        <v>43</v>
      </c>
      <c r="D17" s="6" t="s">
        <v>44</v>
      </c>
      <c r="E17" s="11"/>
      <c r="F17" s="11"/>
    </row>
    <row r="18" customFormat="false" ht="60" hidden="false" customHeight="true" outlineLevel="0" collapsed="false">
      <c r="A18" s="16" t="s">
        <v>45</v>
      </c>
      <c r="B18" s="17" t="s">
        <v>46</v>
      </c>
      <c r="C18" s="18" t="s">
        <v>39</v>
      </c>
      <c r="D18" s="18" t="s">
        <v>47</v>
      </c>
      <c r="E18" s="19" t="s">
        <v>48</v>
      </c>
      <c r="F18" s="19"/>
    </row>
    <row r="19" customFormat="false" ht="60" hidden="false" customHeight="true" outlineLevel="0" collapsed="false">
      <c r="A19" s="5" t="s">
        <v>49</v>
      </c>
      <c r="B19" s="10" t="s">
        <v>50</v>
      </c>
      <c r="C19" s="6" t="s">
        <v>51</v>
      </c>
      <c r="D19" s="6" t="s">
        <v>52</v>
      </c>
      <c r="E19" s="11"/>
      <c r="F19" s="11"/>
    </row>
    <row r="21" customFormat="false" ht="19.5" hidden="false" customHeight="true" outlineLevel="0" collapsed="false">
      <c r="A21" s="3" t="s">
        <v>53</v>
      </c>
      <c r="B21" s="3"/>
      <c r="C21" s="3"/>
      <c r="D21" s="3"/>
      <c r="E21" s="3"/>
      <c r="F21" s="3"/>
    </row>
    <row r="22" customFormat="false" ht="15" hidden="false" customHeight="false" outlineLevel="0" collapsed="false">
      <c r="A22" s="4" t="s">
        <v>54</v>
      </c>
      <c r="B22" s="4" t="s">
        <v>55</v>
      </c>
      <c r="C22" s="4" t="s">
        <v>56</v>
      </c>
      <c r="D22" s="4" t="s">
        <v>57</v>
      </c>
      <c r="E22" s="4" t="s">
        <v>58</v>
      </c>
      <c r="F22" s="4" t="s">
        <v>59</v>
      </c>
    </row>
    <row r="23" customFormat="false" ht="39.55" hidden="false" customHeight="false" outlineLevel="0" collapsed="false">
      <c r="A23" s="5" t="s">
        <v>60</v>
      </c>
      <c r="B23" s="6" t="s">
        <v>61</v>
      </c>
      <c r="C23" s="20" t="n">
        <v>240</v>
      </c>
      <c r="D23" s="21" t="n">
        <v>120</v>
      </c>
      <c r="E23" s="22" t="n">
        <f aca="false">C23*D23</f>
        <v>28800</v>
      </c>
      <c r="F23" s="23" t="n">
        <f aca="false">C23/8</f>
        <v>30</v>
      </c>
    </row>
    <row r="24" customFormat="false" ht="26.85" hidden="false" customHeight="false" outlineLevel="0" collapsed="false">
      <c r="A24" s="5" t="s">
        <v>62</v>
      </c>
      <c r="B24" s="6" t="s">
        <v>63</v>
      </c>
      <c r="C24" s="20" t="n">
        <v>200</v>
      </c>
      <c r="D24" s="21" t="n">
        <v>130</v>
      </c>
      <c r="E24" s="22" t="n">
        <f aca="false">C24*D24</f>
        <v>26000</v>
      </c>
      <c r="F24" s="23" t="n">
        <f aca="false">C24/8</f>
        <v>25</v>
      </c>
    </row>
    <row r="25" customFormat="false" ht="26.85" hidden="false" customHeight="false" outlineLevel="0" collapsed="false">
      <c r="A25" s="5" t="s">
        <v>64</v>
      </c>
      <c r="B25" s="6" t="s">
        <v>65</v>
      </c>
      <c r="C25" s="20" t="n">
        <v>220</v>
      </c>
      <c r="D25" s="21" t="n">
        <v>110</v>
      </c>
      <c r="E25" s="22" t="n">
        <f aca="false">C25*D25</f>
        <v>24200</v>
      </c>
      <c r="F25" s="23" t="n">
        <f aca="false">C25/8</f>
        <v>27.5</v>
      </c>
    </row>
    <row r="26" customFormat="false" ht="26.85" hidden="false" customHeight="false" outlineLevel="0" collapsed="false">
      <c r="A26" s="5" t="s">
        <v>66</v>
      </c>
      <c r="B26" s="6" t="s">
        <v>67</v>
      </c>
      <c r="C26" s="20" t="n">
        <v>120</v>
      </c>
      <c r="D26" s="21" t="n">
        <v>150</v>
      </c>
      <c r="E26" s="22" t="n">
        <f aca="false">C26*D26</f>
        <v>18000</v>
      </c>
      <c r="F26" s="23" t="n">
        <f aca="false">C26/8</f>
        <v>15</v>
      </c>
    </row>
    <row r="27" customFormat="false" ht="15" hidden="false" customHeight="false" outlineLevel="0" collapsed="false">
      <c r="A27" s="12" t="s">
        <v>68</v>
      </c>
      <c r="B27" s="24"/>
      <c r="C27" s="25" t="n">
        <f aca="false">SUM(C23:C26)</f>
        <v>780</v>
      </c>
      <c r="D27" s="26" t="s">
        <v>69</v>
      </c>
      <c r="E27" s="27" t="n">
        <f aca="false">SUM(E23:E26)</f>
        <v>97000</v>
      </c>
      <c r="F27" s="28" t="n">
        <f aca="false">C27/8</f>
        <v>97.5</v>
      </c>
    </row>
    <row r="29" customFormat="false" ht="27.75" hidden="false" customHeight="true" outlineLevel="0" collapsed="false">
      <c r="A29" s="29" t="s">
        <v>70</v>
      </c>
      <c r="B29" s="29"/>
      <c r="C29" s="29"/>
      <c r="D29" s="29"/>
      <c r="E29" s="29"/>
      <c r="F29" s="29"/>
    </row>
    <row r="31" customFormat="false" ht="19.5" hidden="false" customHeight="true" outlineLevel="0" collapsed="false">
      <c r="A31" s="3" t="s">
        <v>71</v>
      </c>
      <c r="B31" s="3"/>
      <c r="C31" s="3"/>
      <c r="D31" s="3"/>
      <c r="E31" s="3"/>
      <c r="F31" s="3"/>
    </row>
    <row r="32" customFormat="false" ht="15" hidden="false" customHeight="true" outlineLevel="0" collapsed="false">
      <c r="A32" s="4" t="s">
        <v>72</v>
      </c>
      <c r="B32" s="4" t="s">
        <v>73</v>
      </c>
      <c r="C32" s="4"/>
      <c r="D32" s="4" t="s">
        <v>74</v>
      </c>
      <c r="E32" s="4"/>
      <c r="F32" s="4"/>
    </row>
    <row r="33" customFormat="false" ht="30" hidden="false" customHeight="true" outlineLevel="0" collapsed="false">
      <c r="A33" s="6" t="s">
        <v>75</v>
      </c>
      <c r="B33" s="30" t="s">
        <v>76</v>
      </c>
      <c r="C33" s="30"/>
      <c r="D33" s="31" t="s">
        <v>77</v>
      </c>
      <c r="E33" s="31"/>
      <c r="F33" s="31"/>
    </row>
    <row r="34" customFormat="false" ht="30" hidden="false" customHeight="true" outlineLevel="0" collapsed="false">
      <c r="A34" s="6" t="s">
        <v>78</v>
      </c>
      <c r="B34" s="30"/>
      <c r="C34" s="30"/>
      <c r="D34" s="31"/>
      <c r="E34" s="31"/>
      <c r="F34" s="31"/>
    </row>
    <row r="35" customFormat="false" ht="30" hidden="false" customHeight="true" outlineLevel="0" collapsed="false">
      <c r="A35" s="6" t="s">
        <v>79</v>
      </c>
      <c r="B35" s="30"/>
      <c r="C35" s="30"/>
      <c r="D35" s="31"/>
      <c r="E35" s="31"/>
      <c r="F35" s="31"/>
    </row>
    <row r="36" customFormat="false" ht="30" hidden="false" customHeight="true" outlineLevel="0" collapsed="false">
      <c r="A36" s="6" t="s">
        <v>80</v>
      </c>
      <c r="B36" s="30"/>
      <c r="C36" s="30"/>
      <c r="D36" s="31"/>
      <c r="E36" s="31"/>
      <c r="F36" s="31"/>
    </row>
    <row r="38" customFormat="false" ht="19.5" hidden="false" customHeight="true" outlineLevel="0" collapsed="false">
      <c r="A38" s="3" t="s">
        <v>81</v>
      </c>
      <c r="B38" s="3"/>
      <c r="C38" s="3"/>
      <c r="D38" s="3"/>
      <c r="E38" s="3"/>
      <c r="F38" s="3"/>
    </row>
    <row r="39" customFormat="false" ht="15" hidden="false" customHeight="true" outlineLevel="0" collapsed="false">
      <c r="A39" s="4" t="s">
        <v>82</v>
      </c>
      <c r="B39" s="4" t="s">
        <v>83</v>
      </c>
      <c r="C39" s="4"/>
      <c r="D39" s="4"/>
      <c r="E39" s="4"/>
      <c r="F39" s="4"/>
    </row>
    <row r="40" customFormat="false" ht="42" hidden="false" customHeight="true" outlineLevel="0" collapsed="false">
      <c r="A40" s="5" t="s">
        <v>84</v>
      </c>
      <c r="B40" s="6" t="s">
        <v>85</v>
      </c>
      <c r="C40" s="6"/>
      <c r="D40" s="6"/>
      <c r="E40" s="6"/>
      <c r="F40" s="6"/>
    </row>
    <row r="41" customFormat="false" ht="42" hidden="false" customHeight="true" outlineLevel="0" collapsed="false">
      <c r="A41" s="5" t="s">
        <v>86</v>
      </c>
      <c r="B41" s="6" t="s">
        <v>87</v>
      </c>
      <c r="C41" s="6"/>
      <c r="D41" s="6"/>
      <c r="E41" s="6"/>
      <c r="F41" s="6"/>
    </row>
  </sheetData>
  <mergeCells count="26">
    <mergeCell ref="A1:F1"/>
    <mergeCell ref="A2:F2"/>
    <mergeCell ref="B5:C5"/>
    <mergeCell ref="B6:C6"/>
    <mergeCell ref="D6:F6"/>
    <mergeCell ref="B7:C7"/>
    <mergeCell ref="D7:F7"/>
    <mergeCell ref="B8:C8"/>
    <mergeCell ref="D8:F8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A29:F29"/>
    <mergeCell ref="B32:C32"/>
    <mergeCell ref="D32:F32"/>
    <mergeCell ref="B33:C36"/>
    <mergeCell ref="D33:F36"/>
    <mergeCell ref="B39:F39"/>
    <mergeCell ref="B40:F40"/>
    <mergeCell ref="B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2026-09-20T21:49:35Z</dcterms:created>
  <dc:creator>openpyxl</dc:creator>
  <dc:description/>
  <dc:language>en-US</dc:language>
  <cp:lastModifiedBy/>
  <dcterms:modified xsi:type="dcterms:W3CDTF">2026-09-20T21:49:35Z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