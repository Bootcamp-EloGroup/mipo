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1. Alternativas" sheetId="2" state="visible" r:id="rId4"/>
    <sheet name="2. Dimensionamento" sheetId="3" state="visible" r:id="rId5"/>
    <sheet name="3. Manutenção" sheetId="4" state="visible" r:id="rId6"/>
    <sheet name="4. Atendimento" sheetId="5" state="visible" r:id="rId7"/>
    <sheet name="5. Pessoal" sheetId="6" state="visible" r:id="rId8"/>
    <sheet name="6. Logística" sheetId="7" state="visible" r:id="rId9"/>
    <sheet name="7. Financeiro" sheetId="8" state="visible" r:id="rId10"/>
    <sheet name="8. Margem" sheetId="9" state="visible" r:id="rId11"/>
    <sheet name="9. Business Cas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<sst xmlns="http://schemas.openxmlformats.org/spreadsheetml/2006/main" count="228" uniqueCount="194">
  <si>
    <t xml:space="preserve">Premissas — Business Plan MIPO</t>
  </si>
  <si>
    <t xml:space="preserve">Células amarelas = editáveis. Substitua pelos dados reais do case assim que disponíveis.</t>
  </si>
  <si>
    <t xml:space="preserve">Premissa</t>
  </si>
  <si>
    <t xml:space="preserve">Valor</t>
  </si>
  <si>
    <t xml:space="preserve">Nota</t>
  </si>
  <si>
    <t xml:space="preserve">Geral</t>
  </si>
  <si>
    <t xml:space="preserve">Pedidos por mês</t>
  </si>
  <si>
    <t xml:space="preserve">Dado real — 24.454 pedidos aprovados / 12,8 meses (jan/23–jan/24, 03_margem_e_issue_tree)</t>
  </si>
  <si>
    <t xml:space="preserve">Funcionalidade 1 — Orientação de tamanho (pré-venda)</t>
  </si>
  <si>
    <t xml:space="preserve">Compras/mês com risco de tamanho identificado</t>
  </si>
  <si>
    <t xml:space="preserve">Dado real (piso) — 71 devoluções/mês por tamanho errado + 419 atendimentos/mês de Troca de Tamanho. Sem score individual de risco (ver nota metodológica)</t>
  </si>
  <si>
    <t xml:space="preserve">Taxa de aceite da recomendação</t>
  </si>
  <si>
    <t xml:space="preserve">ASSUNÇÃO — recomendação ainda não existe; sem taxa de aceite observável</t>
  </si>
  <si>
    <t xml:space="preserve">Redução na devolução após aceite</t>
  </si>
  <si>
    <t xml:space="preserve">ASSUNÇÃO — efeito da recomendação sobre devolução ainda não pode ser medido</t>
  </si>
  <si>
    <t xml:space="preserve">Frete reverso médio</t>
  </si>
  <si>
    <t xml:space="preserve">ASSUNÇÃO — base não registra estorno, frete reverso ou custo pós-devolução</t>
  </si>
  <si>
    <t xml:space="preserve">Custo de reprocessamento médio</t>
  </si>
  <si>
    <t xml:space="preserve">ASSUNÇÃO — base não registra custo de reprocessamento/reestoque</t>
  </si>
  <si>
    <t xml:space="preserve">Ticket médio (segmento tamanho)</t>
  </si>
  <si>
    <t xml:space="preserve">Dado real — receita líquida média em pedidos devolvidos por tamanho errado (R$ 614.352 / 911 pedidos)</t>
  </si>
  <si>
    <t xml:space="preserve">Fator conservador — % das devoluções evitadas tratadas como venda salva</t>
  </si>
  <si>
    <t xml:space="preserve">ASSUNÇÃO — fator de conservadorismo definido pela equipe, sem base empírica</t>
  </si>
  <si>
    <t xml:space="preserve">Funcionalidade 2 — Chatbot de status (pós-venda / WISMO)</t>
  </si>
  <si>
    <t xml:space="preserve">Atendimentos totais por mês (todos os canais)</t>
  </si>
  <si>
    <t xml:space="preserve">Dado real — 35.839 tickets válidos / 12,8 meses</t>
  </si>
  <si>
    <t xml:space="preserve">Atendimentos de rastreamento (WISMO) por mês</t>
  </si>
  <si>
    <t xml:space="preserve">Dado real — 10.765 tickets 'Onde está meu pedido?' / 12,8 meses (30,0% do volume)</t>
  </si>
  <si>
    <t xml:space="preserve">% resolvido diretamente pelo bot</t>
  </si>
  <si>
    <t xml:space="preserve">ASSUNÇÃO — chatbot ainda não existe. Coincide com a taxa de resolução humana atual (65,2%); tratar como piso, não meta</t>
  </si>
  <si>
    <t xml:space="preserve">Casos de atraso real dentro do WISMO</t>
  </si>
  <si>
    <t xml:space="preserve">Dado real (proxy) — motivo de devolução 'Atraso na entrega': 711 pedidos / 12,8 meses. Não é um sub-tipo direto de ticket WISMO</t>
  </si>
  <si>
    <t xml:space="preserve">% que cancelaria/pediria estorno sem resposta proativa</t>
  </si>
  <si>
    <t xml:space="preserve">ASSUNÇÃO — hipótese comportamental sem dado observável (contrafactual)</t>
  </si>
  <si>
    <t xml:space="preserve">Ticket médio (segmento WISMO)</t>
  </si>
  <si>
    <t xml:space="preserve">Dado real — receita líquida média em pedidos ligados a tickets WISMO (R$ 2.224.339 / 3.071 pedidos)</t>
  </si>
  <si>
    <t xml:space="preserve">Margem de contribuição</t>
  </si>
  <si>
    <t xml:space="preserve">Dado real — margem de contribuição aprovada / receita líquida aprovada (R$ 9.058.428 / R$ 16.668.956)</t>
  </si>
  <si>
    <t xml:space="preserve">Equipe de atendimento</t>
  </si>
  <si>
    <t xml:space="preserve">Atendentes atualmente alocados</t>
  </si>
  <si>
    <t xml:space="preserve">ASSUNÇÃO — headcount não consta nas bases do case</t>
  </si>
  <si>
    <t xml:space="preserve">Custo mensal por atendente (salário + encargos)</t>
  </si>
  <si>
    <t xml:space="preserve">ASSUNÇÃO — custo de folha não consta nas bases do case</t>
  </si>
  <si>
    <t xml:space="preserve">Custo variável médio por atendimento</t>
  </si>
  <si>
    <t xml:space="preserve">Dado real — custo operacional médio por ticket (R$ 532.260 / 35.840 tickets)</t>
  </si>
  <si>
    <t xml:space="preserve">Dimensionamento do desenvolvimento (investimento único)</t>
  </si>
  <si>
    <t xml:space="preserve">Engenharia de Dados — horas</t>
  </si>
  <si>
    <t xml:space="preserve">h</t>
  </si>
  <si>
    <t xml:space="preserve">Engenharia de Dados — custo/hora</t>
  </si>
  <si>
    <t xml:space="preserve">R$/h</t>
  </si>
  <si>
    <t xml:space="preserve">Ciência de Dados — horas</t>
  </si>
  <si>
    <t xml:space="preserve">Ciência de Dados — custo/hora</t>
  </si>
  <si>
    <t xml:space="preserve">Engenharia de Produto — horas</t>
  </si>
  <si>
    <t xml:space="preserve">Engenharia de Produto — custo/hora</t>
  </si>
  <si>
    <t xml:space="preserve">Gestão de Projeto — horas</t>
  </si>
  <si>
    <t xml:space="preserve">Gestão de Projeto — custo/hora</t>
  </si>
  <si>
    <t xml:space="preserve">Manutenção recorrente (mensal)</t>
  </si>
  <si>
    <t xml:space="preserve">Engenharia de Dados — horas/mês manutenção</t>
  </si>
  <si>
    <t xml:space="preserve">h/mês</t>
  </si>
  <si>
    <t xml:space="preserve">Ciência de Dados — horas/mês manutenção</t>
  </si>
  <si>
    <t xml:space="preserve">Gestão — horas/mês manutenção</t>
  </si>
  <si>
    <t xml:space="preserve">Infraestrutura e ferramentas</t>
  </si>
  <si>
    <t xml:space="preserve">R$/mês</t>
  </si>
  <si>
    <t xml:space="preserve">Fonte dos dados reais: notebooks 01_exploracao_inicial, 02_validacao_metodologica e 03_margem_e_issue_tree. Base validada: 24.454 pedidos aprovados, 35.839 tickets de atendimento, jan/2023–jan/2024 (13 meses, janeiro final parcial → dividido por 12,8 meses).</t>
  </si>
  <si>
    <t xml:space="preserve">Ressalva metodológica importante: o modelo preditivo de risco de devolução por pedido foi testado e reprovado (ROC-AUC equivalente ao acaso, abaixo do gate de 0,60 — notebook 02). Isso significa que a 'orientação de tamanho' não pode se basear em um score individual por cliente/pedido — deve usar regra determinística por categoria/SKU com histórico de devolução elevado, como já previsto no relatório do MVP (motor de risco por regras, não ML).</t>
  </si>
  <si>
    <t xml:space="preserve">Ainda sem base real: recomendação de checkout, chatbot WISMO, taxa de aceite, custo de frete reverso/reprocessamento, headcount e custo de atendimento por pessoa — nenhum desses existe operacionalmente ainda, então permanecem premissas a validar em piloto (marcadas em laranja na coluna Nota).</t>
  </si>
  <si>
    <t xml:space="preserve">1. Alternativas Consideradas</t>
  </si>
  <si>
    <t xml:space="preserve">Comparação entre os caminhos avaliados para resolver a mesma dor de negócio.</t>
  </si>
  <si>
    <t xml:space="preserve">Alternativa</t>
  </si>
  <si>
    <t xml:space="preserve">Impacto esperado</t>
  </si>
  <si>
    <t xml:space="preserve">Viabilidade técnica</t>
  </si>
  <si>
    <t xml:space="preserve">Custo de implementação</t>
  </si>
  <si>
    <t xml:space="preserve">Tempo de implementação</t>
  </si>
  <si>
    <t xml:space="preserve">Retorno / custo evitado</t>
  </si>
  <si>
    <t xml:space="preserve">A — Painel analítico manual (revisão manual, sem intervenção automática)</t>
  </si>
  <si>
    <t xml:space="preserve">Baixo</t>
  </si>
  <si>
    <t xml:space="preserve">Alta</t>
  </si>
  <si>
    <t xml:space="preserve">Curto</t>
  </si>
  <si>
    <t xml:space="preserve">B — Automação ponta a ponta (troca/reposição automática, integrada a ERP/WMS/TMS em tempo real)</t>
  </si>
  <si>
    <t xml:space="preserve">Alto</t>
  </si>
  <si>
    <t xml:space="preserve">Baixa</t>
  </si>
  <si>
    <t xml:space="preserve">Longo (6+ meses)</t>
  </si>
  <si>
    <t xml:space="preserve">Alto, porém incerto</t>
  </si>
  <si>
    <t xml:space="preserve">C — Assistente em duas camadas: orientação de tamanho (pré-venda) + chatbot de status (pós-venda) [ESCOLHIDA]</t>
  </si>
  <si>
    <t xml:space="preserve">Médio</t>
  </si>
  <si>
    <t xml:space="preserve">Curto (≈ 8 semanas)</t>
  </si>
  <si>
    <t xml:space="preserve">Alto e rápido</t>
  </si>
  <si>
    <t xml:space="preserve">Justificativa: a alternativa C ataca os dois pontos de maior volume e menor complexidade de dados (devolução por tamanho e dúvida de rastreamento) sem depender de integração real com ERP/WMS/TMS — o que reduz custo e prazo frente à alternativa B, mantendo a decisão final com o cliente ou o atendente humano.</t>
  </si>
  <si>
    <t xml:space="preserve">2. Dimensionamento da Solução</t>
  </si>
  <si>
    <t xml:space="preserve">Horas-homem e custo de desenvolvimento por perfil profissional.</t>
  </si>
  <si>
    <t xml:space="preserve">Perfil</t>
  </si>
  <si>
    <t xml:space="preserve">Frente de trabalho</t>
  </si>
  <si>
    <t xml:space="preserve">Horas</t>
  </si>
  <si>
    <t xml:space="preserve">Custo/hora</t>
  </si>
  <si>
    <t xml:space="preserve">Custo total</t>
  </si>
  <si>
    <t xml:space="preserve">Engenharia de Dados</t>
  </si>
  <si>
    <t xml:space="preserve">Consolidação de bases, pipelines, APIs de risco e WISMO</t>
  </si>
  <si>
    <t xml:space="preserve">Ciência de Dados</t>
  </si>
  <si>
    <t xml:space="preserve">Motor de risco, motor de recomendação, regras WISMO, validação</t>
  </si>
  <si>
    <t xml:space="preserve">Engenharia de Produto</t>
  </si>
  <si>
    <t xml:space="preserve">Checkout inteligente (frontend) e chatbot (integração + UI)</t>
  </si>
  <si>
    <t xml:space="preserve">Gestão de Projeto</t>
  </si>
  <si>
    <t xml:space="preserve">Coordenação, priorização, validação funcional</t>
  </si>
  <si>
    <t xml:space="preserve">Total</t>
  </si>
  <si>
    <t xml:space="preserve">—</t>
  </si>
  <si>
    <t xml:space="preserve">Prazo estimado: ≈ 8 semanas (2 meses), com as quatro frentes trabalhando em paralelo a partir da 2ª semana.</t>
  </si>
  <si>
    <t xml:space="preserve">3. Custo de Manutenção</t>
  </si>
  <si>
    <t xml:space="preserve">Custo recorrente após o go-live.</t>
  </si>
  <si>
    <t xml:space="preserve">Item</t>
  </si>
  <si>
    <t xml:space="preserve">Frequência</t>
  </si>
  <si>
    <t xml:space="preserve">Horas/mês</t>
  </si>
  <si>
    <t xml:space="preserve">Custo/mês</t>
  </si>
  <si>
    <t xml:space="preserve">Engenharia de Dados — monitoramento de pipelines</t>
  </si>
  <si>
    <t xml:space="preserve">Contínua (automatizada) + revisão semanal</t>
  </si>
  <si>
    <t xml:space="preserve">Ciência de Dados — ajuste de regras/thresholds</t>
  </si>
  <si>
    <t xml:space="preserve">Revisão mensal, recalibração trimestral</t>
  </si>
  <si>
    <t xml:space="preserve">Gestão — acompanhamento de indicadores</t>
  </si>
  <si>
    <t xml:space="preserve">Mensal</t>
  </si>
  <si>
    <t xml:space="preserve">Infraestrutura e ferramentas (hosting, APIs, monitoramento)</t>
  </si>
  <si>
    <t xml:space="preserve">Recorrente</t>
  </si>
  <si>
    <t xml:space="preserve">Total mensal</t>
  </si>
  <si>
    <t xml:space="preserve">Total anual</t>
  </si>
  <si>
    <t xml:space="preserve">4. Impacto no Atendimento</t>
  </si>
  <si>
    <t xml:space="preserve">Volume atual e fatia que o chatbot WISMO consegue absorver.</t>
  </si>
  <si>
    <t xml:space="preserve">Métrica</t>
  </si>
  <si>
    <t xml:space="preserve">Atendimentos totais por mês</t>
  </si>
  <si>
    <t xml:space="preserve">% do volume total de atendimento</t>
  </si>
  <si>
    <t xml:space="preserve">% dos pedidos/mês que geram contato WISMO</t>
  </si>
  <si>
    <t xml:space="preserve">Atendimentos evitados por mês</t>
  </si>
  <si>
    <t xml:space="preserve">Redução no volume total de atendimento</t>
  </si>
  <si>
    <t xml:space="preserve">5. Impacto sobre Custos de Pessoal</t>
  </si>
  <si>
    <t xml:space="preserve">Separação entre custo evitado real (caixa) e capacidade liberada (produtividade).</t>
  </si>
  <si>
    <t xml:space="preserve">Atendimentos por atendente/mês</t>
  </si>
  <si>
    <t xml:space="preserve">Custo evitado real (caixa)</t>
  </si>
  <si>
    <t xml:space="preserve">Atendimentos evitados/mês (ref. aba 4)</t>
  </si>
  <si>
    <t xml:space="preserve">Custo evitado real (mensal)</t>
  </si>
  <si>
    <t xml:space="preserve">Este valor só vira economia completa se evitar hora extra, terceirização ou novas contratações.</t>
  </si>
  <si>
    <t xml:space="preserve">Capacidade liberada (não é corte de custo)</t>
  </si>
  <si>
    <t xml:space="preserve">Capacidade liberada (FTE equivalente)</t>
  </si>
  <si>
    <t xml:space="preserve">Sem redução de headcount, é tempo redirecionável para casos complexos, upsell ou absorção de crescimento — não é linha de economia na DRE.</t>
  </si>
  <si>
    <t xml:space="preserve">6. Impacto Logístico</t>
  </si>
  <si>
    <t xml:space="preserve">Efeito da orientação de tamanho sobre a logística reversa.</t>
  </si>
  <si>
    <t xml:space="preserve">Etapa do cálculo</t>
  </si>
  <si>
    <t xml:space="preserve">Devoluções evitadas/mês</t>
  </si>
  <si>
    <t xml:space="preserve">Custo médio por devolução (frete reverso + reprocessamento)</t>
  </si>
  <si>
    <t xml:space="preserve">Custo logístico evitado/mês</t>
  </si>
  <si>
    <t xml:space="preserve">Custo logístico evitado/ano</t>
  </si>
  <si>
    <t xml:space="preserve">Outros impactos não quantificados: menor re-triagem em CD, menor ocupação de estoque reverso, menor risco de ruptura em SKUs presos no ciclo de devolução.</t>
  </si>
  <si>
    <t xml:space="preserve">7. Impacto Financeiro Consolidado</t>
  </si>
  <si>
    <t xml:space="preserve">Soma dos ganhos diretos das duas funcionalidades.</t>
  </si>
  <si>
    <t xml:space="preserve">Fonte de ganho</t>
  </si>
  <si>
    <t xml:space="preserve">Origem</t>
  </si>
  <si>
    <t xml:space="preserve">Valor mensal</t>
  </si>
  <si>
    <t xml:space="preserve">Valor anual</t>
  </si>
  <si>
    <t xml:space="preserve">Custo evitado com atendimento</t>
  </si>
  <si>
    <t xml:space="preserve">Chatbot WISMO — pós-venda</t>
  </si>
  <si>
    <t xml:space="preserve">Custo evitado com devoluções (logística)</t>
  </si>
  <si>
    <t xml:space="preserve">Orientação de tamanho — pré-venda</t>
  </si>
  <si>
    <t xml:space="preserve">Margem protegida (retenção pós-venda)</t>
  </si>
  <si>
    <t xml:space="preserve">Chatbot WISMO — cancelamentos evitados</t>
  </si>
  <si>
    <t xml:space="preserve">Margem adicional (retenção pré-venda)</t>
  </si>
  <si>
    <t xml:space="preserve">Orientação de tamanho — vendas mantidas</t>
  </si>
  <si>
    <t xml:space="preserve">TOTAL (direto)</t>
  </si>
  <si>
    <t xml:space="preserve">A capacidade liberada (aba 5) não entra nesta soma — é ganho de produtividade, não fluxo de caixa direto.</t>
  </si>
  <si>
    <t xml:space="preserve">8. Ganho de Margem</t>
  </si>
  <si>
    <t xml:space="preserve">Detalhamento do componente de margem dentro do impacto financeiro total.</t>
  </si>
  <si>
    <t xml:space="preserve">Margem protegida — pós-venda (Chatbot WISMO)</t>
  </si>
  <si>
    <t xml:space="preserve">Casos de atraso real/mês</t>
  </si>
  <si>
    <t xml:space="preserve">% que cancelaria sem resposta proativa</t>
  </si>
  <si>
    <t xml:space="preserve">Cancelamentos evitados/mês</t>
  </si>
  <si>
    <t xml:space="preserve">Ticket médio (WISMO) × margem de contribuição</t>
  </si>
  <si>
    <t xml:space="preserve">Margem protegida (mensal)</t>
  </si>
  <si>
    <t xml:space="preserve">Margem adicional — pré-venda (Orientação de tamanho)</t>
  </si>
  <si>
    <t xml:space="preserve">Devoluções evitadas/mês (ref. aba 6)</t>
  </si>
  <si>
    <t xml:space="preserve">Base conservadora (fator de venda salva)</t>
  </si>
  <si>
    <t xml:space="preserve">Margem adicional (mensal)</t>
  </si>
  <si>
    <t xml:space="preserve">Margem incremental total</t>
  </si>
  <si>
    <t xml:space="preserve">Fator conservador aplicado às devoluções evitadas para não contar como 'venda salva' os casos que resultariam em troca (e não em perda total).</t>
  </si>
  <si>
    <t xml:space="preserve">9. Business Case — Investimento vs. Retorno</t>
  </si>
  <si>
    <t xml:space="preserve">Consolidação final: investimento total contra benefício gerado, com payback e ROI.</t>
  </si>
  <si>
    <t xml:space="preserve">Investimento</t>
  </si>
  <si>
    <t xml:space="preserve">Desenvolvimento (único)</t>
  </si>
  <si>
    <t xml:space="preserve">Manutenção (ano 1)</t>
  </si>
  <si>
    <t xml:space="preserve">Total investimento ano 1</t>
  </si>
  <si>
    <t xml:space="preserve">Benefício</t>
  </si>
  <si>
    <t xml:space="preserve">Custo evitado (atendimento + logística)</t>
  </si>
  <si>
    <t xml:space="preserve">Margem incremental (ano 1)</t>
  </si>
  <si>
    <t xml:space="preserve">Total benefício ano 1 (run-rate)</t>
  </si>
  <si>
    <t xml:space="preserve">Indicador</t>
  </si>
  <si>
    <t xml:space="preserve">Benefício líquido ano 1</t>
  </si>
  <si>
    <t xml:space="preserve">ROI ano 1</t>
  </si>
  <si>
    <t xml:space="preserve">Payback (meses, sobre desenvolvimento)</t>
  </si>
  <si>
    <t xml:space="preserve">Capacidade liberada (não monetizada, FTE)</t>
  </si>
  <si>
    <t xml:space="preserve">Ressalva de ramp-up: os valores assumem taxa de aceite e resolução do bot já maduras desde o mês 1. Na prática esses números crescem nos primeiros 2–3 meses — o payback real provavelmente fica entre 3 e 4 meses. Estimativas de potencial, a validar com piloto controlado.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</si>
</sst>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&quot;R$ &quot;#,##0.00;&quot;(R$ &quot;#,##0.00\);\-"/>
    <numFmt numFmtId="168" formatCode="&quot;R$ &quot;#,##0.00;&quot;(R$ &quot;#,##0.00\);\-"/>
    <numFmt numFmtId="169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1F7A4D"/>
      <name val="Arial"/>
      <family val="0"/>
      <charset val="1"/>
    </font>
    <font>
      <i val="true"/>
      <sz val="9"/>
      <color rgb="FFB3540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0F2340"/>
      </patternFill>
    </fill>
    <fill>
      <patternFill patternType="solid">
        <fgColor rgb="FF0F2340"/>
        <bgColor rgb="FF1A1A1A"/>
      </patternFill>
    </fill>
    <fill>
      <patternFill patternType="solid">
        <fgColor rgb="FFE6F4EC"/>
        <bgColor rgb="FFFBEADE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6F4EC"/>
      </patternFill>
    </fill>
    <fill>
      <patternFill patternType="solid">
        <fgColor rgb="FFFBEADE"/>
        <bgColor rgb="FFE6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CCCCC"/>
      <rgbColor rgb="FF808080"/>
      <rgbColor rgb="FF9999FF"/>
      <rgbColor rgb="FF993366"/>
      <rgbColor rgb="FFFBEADE"/>
      <rgbColor rgb="FFE6F4E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2340"/>
      <rgbColor rgb="FF339966"/>
      <rgbColor rgb="FF003300"/>
      <rgbColor rgb="FF1A1A1A"/>
      <rgbColor rgb="FFB354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6" customFormat="false" ht="19.5" hidden="false" customHeight="true" outlineLevel="0" collapsed="false">
      <c r="A6" s="5" t="s">
        <v>5</v>
      </c>
      <c r="B6" s="5"/>
      <c r="C6" s="5"/>
    </row>
    <row r="7" customFormat="false" ht="15" hidden="false" customHeight="true" outlineLevel="0" collapsed="false">
      <c r="A7" s="6" t="s">
        <v>6</v>
      </c>
      <c r="B7" s="7" t="n">
        <v>1911</v>
      </c>
      <c r="C7" s="8" t="s">
        <v>7</v>
      </c>
    </row>
    <row r="9" customFormat="false" ht="19.5" hidden="false" customHeight="true" outlineLevel="0" collapsed="false">
      <c r="A9" s="5" t="s">
        <v>8</v>
      </c>
      <c r="B9" s="5"/>
      <c r="C9" s="5"/>
    </row>
    <row r="10" customFormat="false" ht="15" hidden="false" customHeight="true" outlineLevel="0" collapsed="false">
      <c r="A10" s="6" t="s">
        <v>9</v>
      </c>
      <c r="B10" s="7" t="n">
        <v>490</v>
      </c>
      <c r="C10" s="8" t="s">
        <v>10</v>
      </c>
    </row>
    <row r="11" customFormat="false" ht="15" hidden="false" customHeight="true" outlineLevel="0" collapsed="false">
      <c r="A11" s="6" t="s">
        <v>11</v>
      </c>
      <c r="B11" s="9" t="n">
        <v>0.55</v>
      </c>
      <c r="C11" s="10" t="s">
        <v>12</v>
      </c>
    </row>
    <row r="12" customFormat="false" ht="15" hidden="false" customHeight="true" outlineLevel="0" collapsed="false">
      <c r="A12" s="6" t="s">
        <v>13</v>
      </c>
      <c r="B12" s="9" t="n">
        <v>0.3</v>
      </c>
      <c r="C12" s="10" t="s">
        <v>14</v>
      </c>
    </row>
    <row r="13" customFormat="false" ht="15" hidden="false" customHeight="true" outlineLevel="0" collapsed="false">
      <c r="A13" s="6" t="s">
        <v>15</v>
      </c>
      <c r="B13" s="11" t="n">
        <v>22.5</v>
      </c>
      <c r="C13" s="10" t="s">
        <v>16</v>
      </c>
    </row>
    <row r="14" customFormat="false" ht="15" hidden="false" customHeight="true" outlineLevel="0" collapsed="false">
      <c r="A14" s="6" t="s">
        <v>17</v>
      </c>
      <c r="B14" s="11" t="n">
        <v>8</v>
      </c>
      <c r="C14" s="10" t="s">
        <v>18</v>
      </c>
    </row>
    <row r="15" customFormat="false" ht="15" hidden="false" customHeight="true" outlineLevel="0" collapsed="false">
      <c r="A15" s="6" t="s">
        <v>19</v>
      </c>
      <c r="B15" s="12" t="n">
        <v>674</v>
      </c>
      <c r="C15" s="8" t="s">
        <v>20</v>
      </c>
    </row>
    <row r="16" customFormat="false" ht="15" hidden="false" customHeight="true" outlineLevel="0" collapsed="false">
      <c r="A16" s="6" t="s">
        <v>21</v>
      </c>
      <c r="B16" s="9" t="n">
        <v>0.5</v>
      </c>
      <c r="C16" s="10" t="s">
        <v>22</v>
      </c>
    </row>
    <row r="18" customFormat="false" ht="19.5" hidden="false" customHeight="true" outlineLevel="0" collapsed="false">
      <c r="A18" s="5" t="s">
        <v>23</v>
      </c>
      <c r="B18" s="5"/>
      <c r="C18" s="5"/>
    </row>
    <row r="19" customFormat="false" ht="15" hidden="false" customHeight="true" outlineLevel="0" collapsed="false">
      <c r="A19" s="6" t="s">
        <v>24</v>
      </c>
      <c r="B19" s="7" t="n">
        <v>2800</v>
      </c>
      <c r="C19" s="8" t="s">
        <v>25</v>
      </c>
    </row>
    <row r="20" customFormat="false" ht="15" hidden="false" customHeight="true" outlineLevel="0" collapsed="false">
      <c r="A20" s="6" t="s">
        <v>26</v>
      </c>
      <c r="B20" s="7" t="n">
        <v>841</v>
      </c>
      <c r="C20" s="8" t="s">
        <v>27</v>
      </c>
    </row>
    <row r="21" customFormat="false" ht="15" hidden="false" customHeight="true" outlineLevel="0" collapsed="false">
      <c r="A21" s="6" t="s">
        <v>28</v>
      </c>
      <c r="B21" s="9" t="n">
        <v>0.65</v>
      </c>
      <c r="C21" s="10" t="s">
        <v>29</v>
      </c>
    </row>
    <row r="22" customFormat="false" ht="15" hidden="false" customHeight="true" outlineLevel="0" collapsed="false">
      <c r="A22" s="6" t="s">
        <v>30</v>
      </c>
      <c r="B22" s="7" t="n">
        <v>56</v>
      </c>
      <c r="C22" s="8" t="s">
        <v>31</v>
      </c>
    </row>
    <row r="23" customFormat="false" ht="15" hidden="false" customHeight="true" outlineLevel="0" collapsed="false">
      <c r="A23" s="6" t="s">
        <v>32</v>
      </c>
      <c r="B23" s="9" t="n">
        <v>0.08</v>
      </c>
      <c r="C23" s="10" t="s">
        <v>33</v>
      </c>
    </row>
    <row r="24" customFormat="false" ht="15" hidden="false" customHeight="true" outlineLevel="0" collapsed="false">
      <c r="A24" s="6" t="s">
        <v>34</v>
      </c>
      <c r="B24" s="12" t="n">
        <v>724</v>
      </c>
      <c r="C24" s="8" t="s">
        <v>35</v>
      </c>
    </row>
    <row r="25" customFormat="false" ht="15" hidden="false" customHeight="true" outlineLevel="0" collapsed="false">
      <c r="A25" s="6" t="s">
        <v>36</v>
      </c>
      <c r="B25" s="13" t="n">
        <v>0.543</v>
      </c>
      <c r="C25" s="8" t="s">
        <v>37</v>
      </c>
    </row>
    <row r="27" customFormat="false" ht="19.5" hidden="false" customHeight="true" outlineLevel="0" collapsed="false">
      <c r="A27" s="5" t="s">
        <v>38</v>
      </c>
      <c r="B27" s="5"/>
      <c r="C27" s="5"/>
    </row>
    <row r="28" customFormat="false" ht="15" hidden="false" customHeight="true" outlineLevel="0" collapsed="false">
      <c r="A28" s="6" t="s">
        <v>39</v>
      </c>
      <c r="B28" s="14" t="n">
        <v>6</v>
      </c>
      <c r="C28" s="10" t="s">
        <v>40</v>
      </c>
    </row>
    <row r="29" customFormat="false" ht="15" hidden="false" customHeight="true" outlineLevel="0" collapsed="false">
      <c r="A29" s="6" t="s">
        <v>41</v>
      </c>
      <c r="B29" s="11" t="n">
        <v>6000</v>
      </c>
      <c r="C29" s="10" t="s">
        <v>42</v>
      </c>
    </row>
    <row r="30" customFormat="false" ht="15" hidden="false" customHeight="true" outlineLevel="0" collapsed="false">
      <c r="A30" s="6" t="s">
        <v>43</v>
      </c>
      <c r="B30" s="12" t="n">
        <v>14.85</v>
      </c>
      <c r="C30" s="8" t="s">
        <v>44</v>
      </c>
    </row>
    <row r="32" customFormat="false" ht="19.5" hidden="false" customHeight="true" outlineLevel="0" collapsed="false">
      <c r="A32" s="15" t="s">
        <v>45</v>
      </c>
      <c r="B32" s="16"/>
      <c r="C32" s="16"/>
    </row>
    <row r="33" customFormat="false" ht="15" hidden="false" customHeight="true" outlineLevel="0" collapsed="false">
      <c r="A33" s="17" t="s">
        <v>46</v>
      </c>
      <c r="B33" s="18" t="n">
        <v>240</v>
      </c>
      <c r="C33" s="19" t="s">
        <v>47</v>
      </c>
    </row>
    <row r="34" customFormat="false" ht="15" hidden="false" customHeight="true" outlineLevel="0" collapsed="false">
      <c r="A34" s="17" t="s">
        <v>48</v>
      </c>
      <c r="B34" s="20" t="n">
        <v>120</v>
      </c>
      <c r="C34" s="19" t="s">
        <v>49</v>
      </c>
    </row>
    <row r="35" customFormat="false" ht="15" hidden="false" customHeight="true" outlineLevel="0" collapsed="false">
      <c r="A35" s="6" t="s">
        <v>50</v>
      </c>
      <c r="B35" s="14" t="n">
        <v>200</v>
      </c>
      <c r="C35" s="6" t="s">
        <v>47</v>
      </c>
    </row>
    <row r="36" customFormat="false" ht="15" hidden="false" customHeight="true" outlineLevel="0" collapsed="false">
      <c r="A36" s="6" t="s">
        <v>51</v>
      </c>
      <c r="B36" s="11" t="n">
        <v>130</v>
      </c>
      <c r="C36" s="6" t="s">
        <v>49</v>
      </c>
    </row>
    <row r="37" customFormat="false" ht="15" hidden="false" customHeight="true" outlineLevel="0" collapsed="false">
      <c r="A37" s="6" t="s">
        <v>52</v>
      </c>
      <c r="B37" s="14" t="n">
        <v>220</v>
      </c>
      <c r="C37" s="6" t="s">
        <v>47</v>
      </c>
    </row>
    <row r="38" customFormat="false" ht="15" hidden="false" customHeight="true" outlineLevel="0" collapsed="false">
      <c r="A38" s="6" t="s">
        <v>53</v>
      </c>
      <c r="B38" s="11" t="n">
        <v>110</v>
      </c>
      <c r="C38" s="6" t="s">
        <v>49</v>
      </c>
    </row>
    <row r="39" customFormat="false" ht="15" hidden="false" customHeight="true" outlineLevel="0" collapsed="false">
      <c r="A39" s="6" t="s">
        <v>54</v>
      </c>
      <c r="B39" s="14" t="n">
        <v>120</v>
      </c>
      <c r="C39" s="6" t="s">
        <v>47</v>
      </c>
    </row>
    <row r="40" customFormat="false" ht="15" hidden="false" customHeight="true" outlineLevel="0" collapsed="false">
      <c r="A40" s="6" t="s">
        <v>55</v>
      </c>
      <c r="B40" s="11" t="n">
        <v>150</v>
      </c>
      <c r="C40" s="6" t="s">
        <v>49</v>
      </c>
    </row>
    <row r="42" customFormat="false" ht="19.5" hidden="false" customHeight="true" outlineLevel="0" collapsed="false">
      <c r="A42" s="5" t="s">
        <v>56</v>
      </c>
      <c r="B42" s="5"/>
      <c r="C42" s="5"/>
    </row>
    <row r="43" customFormat="false" ht="15" hidden="false" customHeight="true" outlineLevel="0" collapsed="false">
      <c r="A43" s="6" t="s">
        <v>57</v>
      </c>
      <c r="B43" s="14" t="n">
        <v>16</v>
      </c>
      <c r="C43" s="6" t="s">
        <v>58</v>
      </c>
    </row>
    <row r="44" customFormat="false" ht="15" hidden="false" customHeight="true" outlineLevel="0" collapsed="false">
      <c r="A44" s="6" t="s">
        <v>59</v>
      </c>
      <c r="B44" s="14" t="n">
        <v>12</v>
      </c>
      <c r="C44" s="6" t="s">
        <v>58</v>
      </c>
    </row>
    <row r="45" customFormat="false" ht="15" hidden="false" customHeight="true" outlineLevel="0" collapsed="false">
      <c r="A45" s="6" t="s">
        <v>60</v>
      </c>
      <c r="B45" s="14" t="n">
        <v>8</v>
      </c>
      <c r="C45" s="6" t="s">
        <v>58</v>
      </c>
    </row>
    <row r="46" customFormat="false" ht="15" hidden="false" customHeight="true" outlineLevel="0" collapsed="false">
      <c r="A46" s="6" t="s">
        <v>61</v>
      </c>
      <c r="B46" s="11" t="n">
        <v>1500</v>
      </c>
      <c r="C46" s="6" t="s">
        <v>62</v>
      </c>
    </row>
    <row r="48" customFormat="false" ht="31.5" hidden="false" customHeight="true" outlineLevel="0" collapsed="false">
      <c r="A48" s="21" t="s">
        <v>63</v>
      </c>
      <c r="B48" s="21"/>
      <c r="C48" s="21"/>
      <c r="D48" s="21"/>
      <c r="E48" s="21"/>
    </row>
    <row r="49" customFormat="false" ht="43.5" hidden="false" customHeight="true" outlineLevel="0" collapsed="false">
      <c r="A49" s="21" t="s">
        <v>64</v>
      </c>
      <c r="B49" s="21"/>
      <c r="C49" s="21"/>
      <c r="D49" s="21"/>
      <c r="E49" s="21"/>
    </row>
    <row r="50" customFormat="false" ht="31.5" hidden="false" customHeight="true" outlineLevel="0" collapsed="false">
      <c r="A50" s="21" t="s">
        <v>65</v>
      </c>
      <c r="B50" s="21"/>
      <c r="C50" s="21"/>
      <c r="D50" s="21"/>
      <c r="E50" s="21"/>
    </row>
  </sheetData>
  <mergeCells count="3">
    <mergeCell ref="A48:E48"/>
    <mergeCell ref="A49:E49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20"/>
  </cols>
  <sheetData>
    <row r="1" customFormat="false" ht="17.25" hidden="false" customHeight="true" outlineLevel="0" collapsed="false">
      <c r="A1" s="2" t="s">
        <v>66</v>
      </c>
    </row>
    <row r="2" customFormat="false" ht="15" hidden="false" customHeight="true" outlineLevel="0" collapsed="false">
      <c r="A2" s="3" t="s">
        <v>67</v>
      </c>
    </row>
    <row r="4" customFormat="false" ht="23.25" hidden="false" customHeight="true" outlineLevel="0" collapsed="false">
      <c r="A4" s="4" t="s">
        <v>68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</row>
    <row r="5" customFormat="false" ht="39.75" hidden="false" customHeight="true" outlineLevel="0" collapsed="false">
      <c r="A5" s="17" t="s">
        <v>74</v>
      </c>
      <c r="B5" s="17" t="s">
        <v>75</v>
      </c>
      <c r="C5" s="17" t="s">
        <v>76</v>
      </c>
      <c r="D5" s="17" t="s">
        <v>75</v>
      </c>
      <c r="E5" s="17" t="s">
        <v>77</v>
      </c>
      <c r="F5" s="17" t="s">
        <v>75</v>
      </c>
    </row>
    <row r="6" customFormat="false" ht="39.75" hidden="false" customHeight="true" outlineLevel="0" collapsed="false">
      <c r="A6" s="17" t="s">
        <v>78</v>
      </c>
      <c r="B6" s="17" t="s">
        <v>79</v>
      </c>
      <c r="C6" s="17" t="s">
        <v>80</v>
      </c>
      <c r="D6" s="17" t="s">
        <v>79</v>
      </c>
      <c r="E6" s="17" t="s">
        <v>81</v>
      </c>
      <c r="F6" s="17" t="s">
        <v>82</v>
      </c>
    </row>
    <row r="7" customFormat="false" ht="39.75" hidden="false" customHeight="true" outlineLevel="0" collapsed="false">
      <c r="A7" s="22" t="s">
        <v>83</v>
      </c>
      <c r="B7" s="22" t="s">
        <v>79</v>
      </c>
      <c r="C7" s="22" t="s">
        <v>76</v>
      </c>
      <c r="D7" s="22" t="s">
        <v>84</v>
      </c>
      <c r="E7" s="22" t="s">
        <v>85</v>
      </c>
      <c r="F7" s="22" t="s">
        <v>86</v>
      </c>
    </row>
    <row r="9" customFormat="false" ht="45" hidden="false" customHeight="true" outlineLevel="0" collapsed="false">
      <c r="A9" s="21" t="s">
        <v>87</v>
      </c>
      <c r="B9" s="21"/>
      <c r="C9" s="21"/>
      <c r="D9" s="21"/>
      <c r="E9" s="21"/>
      <c r="F9" s="21"/>
    </row>
  </sheetData>
  <mergeCells count="1"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88</v>
      </c>
    </row>
    <row r="2" customFormat="false" ht="15" hidden="false" customHeight="true" outlineLevel="0" collapsed="false">
      <c r="A2" s="3" t="s">
        <v>89</v>
      </c>
    </row>
    <row r="4" customFormat="false" ht="15" hidden="false" customHeight="true" outlineLevel="0" collapsed="false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</row>
    <row r="5" customFormat="false" ht="30" hidden="false" customHeight="true" outlineLevel="0" collapsed="false">
      <c r="A5" s="23" t="s">
        <v>95</v>
      </c>
      <c r="B5" s="17" t="s">
        <v>96</v>
      </c>
      <c r="C5" s="24" t="n">
        <f aca="false">Premissas!B33</f>
        <v>240</v>
      </c>
      <c r="D5" s="25" t="n">
        <f aca="false">Premissas!B34</f>
        <v>120</v>
      </c>
      <c r="E5" s="26" t="n">
        <f aca="false">C5*D5</f>
        <v>28800</v>
      </c>
    </row>
    <row r="6" customFormat="false" ht="30" hidden="false" customHeight="true" outlineLevel="0" collapsed="false">
      <c r="A6" s="23" t="s">
        <v>97</v>
      </c>
      <c r="B6" s="17" t="s">
        <v>98</v>
      </c>
      <c r="C6" s="24" t="n">
        <f aca="false">Premissas!B35</f>
        <v>200</v>
      </c>
      <c r="D6" s="25" t="n">
        <f aca="false">Premissas!B36</f>
        <v>130</v>
      </c>
      <c r="E6" s="26" t="n">
        <f aca="false">C6*D6</f>
        <v>26000</v>
      </c>
    </row>
    <row r="7" customFormat="false" ht="30" hidden="false" customHeight="true" outlineLevel="0" collapsed="false">
      <c r="A7" s="23" t="s">
        <v>99</v>
      </c>
      <c r="B7" s="17" t="s">
        <v>100</v>
      </c>
      <c r="C7" s="24" t="n">
        <f aca="false">Premissas!B37</f>
        <v>220</v>
      </c>
      <c r="D7" s="25" t="n">
        <f aca="false">Premissas!B38</f>
        <v>110</v>
      </c>
      <c r="E7" s="26" t="n">
        <f aca="false">C7*D7</f>
        <v>24200</v>
      </c>
    </row>
    <row r="8" customFormat="false" ht="30" hidden="false" customHeight="true" outlineLevel="0" collapsed="false">
      <c r="A8" s="23" t="s">
        <v>101</v>
      </c>
      <c r="B8" s="17" t="s">
        <v>102</v>
      </c>
      <c r="C8" s="24" t="n">
        <f aca="false">Premissas!B39</f>
        <v>120</v>
      </c>
      <c r="D8" s="25" t="n">
        <f aca="false">Premissas!B40</f>
        <v>150</v>
      </c>
      <c r="E8" s="26" t="n">
        <f aca="false">C8*D8</f>
        <v>18000</v>
      </c>
    </row>
    <row r="9" customFormat="false" ht="15" hidden="false" customHeight="true" outlineLevel="0" collapsed="false">
      <c r="A9" s="27" t="s">
        <v>103</v>
      </c>
      <c r="B9" s="28"/>
      <c r="C9" s="29" t="n">
        <f aca="false">SUM(C5:C8)</f>
        <v>780</v>
      </c>
      <c r="D9" s="28" t="s">
        <v>104</v>
      </c>
      <c r="E9" s="30" t="n">
        <f aca="false">SUM(E5:E8)</f>
        <v>97000</v>
      </c>
    </row>
    <row r="11" customFormat="false" ht="15" hidden="false" customHeight="true" outlineLevel="0" collapsed="false">
      <c r="A11" s="31" t="s">
        <v>105</v>
      </c>
      <c r="B11" s="31"/>
      <c r="C11" s="31"/>
      <c r="D11" s="31"/>
      <c r="E11" s="31"/>
    </row>
  </sheetData>
  <mergeCells count="1"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106</v>
      </c>
    </row>
    <row r="2" customFormat="false" ht="15" hidden="false" customHeight="true" outlineLevel="0" collapsed="false">
      <c r="A2" s="3" t="s">
        <v>107</v>
      </c>
    </row>
    <row r="4" customFormat="false" ht="15" hidden="false" customHeight="true" outlineLevel="0" collapsed="false">
      <c r="A4" s="4" t="s">
        <v>108</v>
      </c>
      <c r="B4" s="4" t="s">
        <v>109</v>
      </c>
      <c r="C4" s="4" t="s">
        <v>110</v>
      </c>
      <c r="D4" s="4" t="s">
        <v>111</v>
      </c>
    </row>
    <row r="5" customFormat="false" ht="27.75" hidden="false" customHeight="true" outlineLevel="0" collapsed="false">
      <c r="A5" s="17" t="s">
        <v>112</v>
      </c>
      <c r="B5" s="17" t="s">
        <v>113</v>
      </c>
      <c r="C5" s="24" t="n">
        <f aca="false">Premissas!B43</f>
        <v>16</v>
      </c>
      <c r="D5" s="25" t="n">
        <f aca="false">Premissas!B43*Premissas!B34</f>
        <v>1920</v>
      </c>
    </row>
    <row r="6" customFormat="false" ht="27.75" hidden="false" customHeight="true" outlineLevel="0" collapsed="false">
      <c r="A6" s="17" t="s">
        <v>114</v>
      </c>
      <c r="B6" s="17" t="s">
        <v>115</v>
      </c>
      <c r="C6" s="24" t="n">
        <f aca="false">Premissas!B44</f>
        <v>12</v>
      </c>
      <c r="D6" s="25" t="n">
        <f aca="false">Premissas!B44*Premissas!B36</f>
        <v>1560</v>
      </c>
    </row>
    <row r="7" customFormat="false" ht="27.75" hidden="false" customHeight="true" outlineLevel="0" collapsed="false">
      <c r="A7" s="17" t="s">
        <v>116</v>
      </c>
      <c r="B7" s="17" t="s">
        <v>117</v>
      </c>
      <c r="C7" s="24" t="n">
        <f aca="false">Premissas!B45</f>
        <v>8</v>
      </c>
      <c r="D7" s="25" t="n">
        <f aca="false">Premissas!B45*Premissas!B40</f>
        <v>1200</v>
      </c>
    </row>
    <row r="8" customFormat="false" ht="26.25" hidden="false" customHeight="true" outlineLevel="0" collapsed="false">
      <c r="A8" s="17" t="s">
        <v>118</v>
      </c>
      <c r="B8" s="6" t="s">
        <v>119</v>
      </c>
      <c r="C8" s="6" t="s">
        <v>104</v>
      </c>
      <c r="D8" s="25" t="n">
        <f aca="false">Premissas!B46</f>
        <v>1500</v>
      </c>
    </row>
    <row r="9" customFormat="false" ht="15" hidden="false" customHeight="true" outlineLevel="0" collapsed="false">
      <c r="A9" s="27" t="s">
        <v>120</v>
      </c>
      <c r="B9" s="28"/>
      <c r="C9" s="29" t="n">
        <f aca="false">SUM(C5:C7)</f>
        <v>36</v>
      </c>
      <c r="D9" s="30" t="n">
        <f aca="false">SUM(D5:D8)</f>
        <v>6180</v>
      </c>
    </row>
    <row r="10" customFormat="false" ht="15" hidden="false" customHeight="true" outlineLevel="0" collapsed="false">
      <c r="A10" s="27" t="s">
        <v>121</v>
      </c>
      <c r="B10" s="28"/>
      <c r="C10" s="28" t="s">
        <v>104</v>
      </c>
      <c r="D10" s="30" t="n">
        <f aca="false">D9*12</f>
        <v>74160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122</v>
      </c>
    </row>
    <row r="2" customFormat="false" ht="15" hidden="false" customHeight="true" outlineLevel="0" collapsed="false">
      <c r="A2" s="3" t="s">
        <v>123</v>
      </c>
    </row>
    <row r="4" customFormat="false" ht="15" hidden="false" customHeight="true" outlineLevel="0" collapsed="false">
      <c r="A4" s="4" t="s">
        <v>124</v>
      </c>
      <c r="B4" s="32" t="s">
        <v>3</v>
      </c>
    </row>
    <row r="5" customFormat="false" ht="15" hidden="false" customHeight="true" outlineLevel="0" collapsed="false">
      <c r="A5" s="6" t="s">
        <v>125</v>
      </c>
      <c r="B5" s="24" t="n">
        <f aca="false">Premissas!B19</f>
        <v>2800</v>
      </c>
    </row>
    <row r="6" customFormat="false" ht="15" hidden="false" customHeight="true" outlineLevel="0" collapsed="false">
      <c r="A6" s="6" t="s">
        <v>26</v>
      </c>
      <c r="B6" s="24" t="n">
        <f aca="false">Premissas!B20</f>
        <v>841</v>
      </c>
    </row>
    <row r="7" customFormat="false" ht="15" hidden="false" customHeight="true" outlineLevel="0" collapsed="false">
      <c r="A7" s="6" t="s">
        <v>126</v>
      </c>
      <c r="B7" s="33" t="n">
        <f aca="false">B6/B5</f>
        <v>0.300357142857143</v>
      </c>
    </row>
    <row r="8" customFormat="false" ht="15" hidden="false" customHeight="true" outlineLevel="0" collapsed="false">
      <c r="A8" s="6" t="s">
        <v>127</v>
      </c>
      <c r="B8" s="34" t="n">
        <f aca="false">B6/Premissas!B7</f>
        <v>0.440083725798012</v>
      </c>
    </row>
    <row r="9" customFormat="false" ht="15" hidden="false" customHeight="true" outlineLevel="0" collapsed="false">
      <c r="A9" s="6" t="s">
        <v>28</v>
      </c>
      <c r="B9" s="34" t="n">
        <f aca="false">Premissas!B21</f>
        <v>0.65</v>
      </c>
    </row>
    <row r="10" customFormat="false" ht="15" hidden="false" customHeight="true" outlineLevel="0" collapsed="false">
      <c r="A10" s="27" t="s">
        <v>128</v>
      </c>
      <c r="B10" s="35" t="n">
        <f aca="false">B6*Premissas!B21</f>
        <v>546.65</v>
      </c>
    </row>
    <row r="11" customFormat="false" ht="15" hidden="false" customHeight="true" outlineLevel="0" collapsed="false">
      <c r="A11" s="27" t="s">
        <v>129</v>
      </c>
      <c r="B11" s="36" t="n">
        <f aca="false">B10/B5</f>
        <v>0.195232142857143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130</v>
      </c>
    </row>
    <row r="2" customFormat="false" ht="15" hidden="false" customHeight="true" outlineLevel="0" collapsed="false">
      <c r="A2" s="3" t="s">
        <v>131</v>
      </c>
    </row>
    <row r="4" customFormat="false" ht="15" hidden="false" customHeight="true" outlineLevel="0" collapsed="false">
      <c r="A4" s="4" t="s">
        <v>124</v>
      </c>
      <c r="B4" s="4" t="s">
        <v>3</v>
      </c>
    </row>
    <row r="5" customFormat="false" ht="15" hidden="false" customHeight="true" outlineLevel="0" collapsed="false">
      <c r="A5" s="6" t="s">
        <v>39</v>
      </c>
      <c r="B5" s="24" t="n">
        <f aca="false">Premissas!B28</f>
        <v>6</v>
      </c>
    </row>
    <row r="6" customFormat="false" ht="15" hidden="false" customHeight="true" outlineLevel="0" collapsed="false">
      <c r="A6" s="6" t="s">
        <v>41</v>
      </c>
      <c r="B6" s="25" t="n">
        <f aca="false">Premissas!B29</f>
        <v>6000</v>
      </c>
    </row>
    <row r="7" customFormat="false" ht="15" hidden="false" customHeight="true" outlineLevel="0" collapsed="false">
      <c r="A7" s="6" t="s">
        <v>132</v>
      </c>
      <c r="B7" s="37" t="n">
        <f aca="false">'4. Atendimento'!B5/B5</f>
        <v>466.666666666667</v>
      </c>
    </row>
    <row r="8" customFormat="false" ht="15" hidden="false" customHeight="true" outlineLevel="0" collapsed="false">
      <c r="A8" s="6" t="s">
        <v>43</v>
      </c>
      <c r="B8" s="25" t="n">
        <f aca="false">Premissas!B30</f>
        <v>14.85</v>
      </c>
    </row>
    <row r="10" customFormat="false" ht="19.5" hidden="false" customHeight="true" outlineLevel="0" collapsed="false">
      <c r="A10" s="38" t="s">
        <v>133</v>
      </c>
      <c r="B10" s="5"/>
    </row>
    <row r="11" customFormat="false" ht="15" hidden="false" customHeight="true" outlineLevel="0" collapsed="false">
      <c r="A11" s="6" t="s">
        <v>134</v>
      </c>
      <c r="B11" s="24" t="n">
        <f aca="false">'4. Atendimento'!B10</f>
        <v>546.65</v>
      </c>
    </row>
    <row r="12" customFormat="false" ht="15" hidden="false" customHeight="true" outlineLevel="0" collapsed="false">
      <c r="A12" s="39" t="s">
        <v>135</v>
      </c>
      <c r="B12" s="40" t="n">
        <f aca="false">B11*Premissas!B30</f>
        <v>8117.7525</v>
      </c>
    </row>
    <row r="13" customFormat="false" ht="30" hidden="false" customHeight="true" outlineLevel="0" collapsed="false">
      <c r="A13" s="41" t="s">
        <v>136</v>
      </c>
      <c r="B13" s="41"/>
    </row>
    <row r="15" customFormat="false" ht="19.5" hidden="false" customHeight="true" outlineLevel="0" collapsed="false">
      <c r="A15" s="38" t="s">
        <v>137</v>
      </c>
      <c r="B15" s="5"/>
    </row>
    <row r="16" customFormat="false" ht="15" hidden="false" customHeight="true" outlineLevel="0" collapsed="false">
      <c r="A16" s="42" t="s">
        <v>138</v>
      </c>
      <c r="B16" s="43" t="n">
        <f aca="false">B11/B7</f>
        <v>1.17139285714286</v>
      </c>
    </row>
    <row r="17" customFormat="false" ht="39.75" hidden="false" customHeight="true" outlineLevel="0" collapsed="false">
      <c r="A17" s="41" t="s">
        <v>139</v>
      </c>
      <c r="B17" s="41"/>
    </row>
  </sheetData>
  <mergeCells count="2">
    <mergeCell ref="A13:B13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140</v>
      </c>
    </row>
    <row r="2" customFormat="false" ht="15" hidden="false" customHeight="true" outlineLevel="0" collapsed="false">
      <c r="A2" s="3" t="s">
        <v>141</v>
      </c>
    </row>
    <row r="4" customFormat="false" ht="15" hidden="false" customHeight="true" outlineLevel="0" collapsed="false">
      <c r="A4" s="4" t="s">
        <v>142</v>
      </c>
      <c r="B4" s="4" t="s">
        <v>3</v>
      </c>
    </row>
    <row r="5" customFormat="false" ht="15" hidden="false" customHeight="true" outlineLevel="0" collapsed="false">
      <c r="A5" s="6" t="s">
        <v>9</v>
      </c>
      <c r="B5" s="24" t="n">
        <f aca="false">Premissas!B10</f>
        <v>490</v>
      </c>
    </row>
    <row r="6" customFormat="false" ht="15" hidden="false" customHeight="true" outlineLevel="0" collapsed="false">
      <c r="A6" s="6" t="s">
        <v>11</v>
      </c>
      <c r="B6" s="34" t="n">
        <f aca="false">Premissas!B11</f>
        <v>0.55</v>
      </c>
    </row>
    <row r="7" customFormat="false" ht="15" hidden="false" customHeight="true" outlineLevel="0" collapsed="false">
      <c r="A7" s="6" t="s">
        <v>13</v>
      </c>
      <c r="B7" s="34" t="n">
        <f aca="false">Premissas!B12</f>
        <v>0.3</v>
      </c>
    </row>
    <row r="8" customFormat="false" ht="15" hidden="false" customHeight="true" outlineLevel="0" collapsed="false">
      <c r="A8" s="27" t="s">
        <v>143</v>
      </c>
      <c r="B8" s="35" t="n">
        <f aca="false">Premissas!B10*Premissas!B11*Premissas!B12</f>
        <v>80.85</v>
      </c>
    </row>
    <row r="9" customFormat="false" ht="15" hidden="false" customHeight="true" outlineLevel="0" collapsed="false">
      <c r="A9" s="6" t="s">
        <v>144</v>
      </c>
      <c r="B9" s="25" t="n">
        <f aca="false">Premissas!B13+Premissas!B14</f>
        <v>30.5</v>
      </c>
    </row>
    <row r="10" customFormat="false" ht="15" hidden="false" customHeight="true" outlineLevel="0" collapsed="false">
      <c r="A10" s="27" t="s">
        <v>145</v>
      </c>
      <c r="B10" s="30" t="n">
        <f aca="false">B8*B9</f>
        <v>2465.925</v>
      </c>
    </row>
    <row r="11" customFormat="false" ht="15" hidden="false" customHeight="true" outlineLevel="0" collapsed="false">
      <c r="A11" s="27" t="s">
        <v>146</v>
      </c>
      <c r="B11" s="30" t="n">
        <f aca="false">B10*12</f>
        <v>29591.1</v>
      </c>
    </row>
    <row r="13" customFormat="false" ht="30" hidden="false" customHeight="true" outlineLevel="0" collapsed="false">
      <c r="A13" s="31" t="s">
        <v>147</v>
      </c>
      <c r="B13" s="31"/>
    </row>
  </sheetData>
  <mergeCells count="1"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4" min="3" style="1" width="16"/>
  </cols>
  <sheetData>
    <row r="1" customFormat="false" ht="17.25" hidden="false" customHeight="true" outlineLevel="0" collapsed="false">
      <c r="A1" s="2" t="s">
        <v>148</v>
      </c>
    </row>
    <row r="2" customFormat="false" ht="15" hidden="false" customHeight="true" outlineLevel="0" collapsed="false">
      <c r="A2" s="3" t="s">
        <v>149</v>
      </c>
    </row>
    <row r="4" customFormat="false" ht="15" hidden="false" customHeight="true" outlineLevel="0" collapsed="false">
      <c r="A4" s="4" t="s">
        <v>150</v>
      </c>
      <c r="B4" s="4" t="s">
        <v>151</v>
      </c>
      <c r="C4" s="4" t="s">
        <v>152</v>
      </c>
      <c r="D4" s="4" t="s">
        <v>153</v>
      </c>
    </row>
    <row r="5" customFormat="false" ht="15" hidden="false" customHeight="true" outlineLevel="0" collapsed="false">
      <c r="A5" s="6" t="s">
        <v>154</v>
      </c>
      <c r="B5" s="6" t="s">
        <v>155</v>
      </c>
      <c r="C5" s="25" t="n">
        <f aca="false">'5. Pessoal'!B12</f>
        <v>8117.7525</v>
      </c>
      <c r="D5" s="26" t="n">
        <f aca="false">C5*12</f>
        <v>97413.03</v>
      </c>
    </row>
    <row r="6" customFormat="false" ht="15" hidden="false" customHeight="true" outlineLevel="0" collapsed="false">
      <c r="A6" s="6" t="s">
        <v>156</v>
      </c>
      <c r="B6" s="6" t="s">
        <v>157</v>
      </c>
      <c r="C6" s="25" t="n">
        <f aca="false">'6. Logística'!B10</f>
        <v>2465.925</v>
      </c>
      <c r="D6" s="26" t="n">
        <f aca="false">C6*12</f>
        <v>29591.1</v>
      </c>
    </row>
    <row r="7" customFormat="false" ht="15" hidden="false" customHeight="true" outlineLevel="0" collapsed="false">
      <c r="A7" s="6" t="s">
        <v>158</v>
      </c>
      <c r="B7" s="6" t="s">
        <v>159</v>
      </c>
      <c r="C7" s="25" t="n">
        <f aca="false">'8. Margem'!B10</f>
        <v>1761.23136</v>
      </c>
      <c r="D7" s="26" t="n">
        <f aca="false">C7*12</f>
        <v>21134.77632</v>
      </c>
    </row>
    <row r="8" customFormat="false" ht="15" hidden="false" customHeight="true" outlineLevel="0" collapsed="false">
      <c r="A8" s="6" t="s">
        <v>160</v>
      </c>
      <c r="B8" s="6" t="s">
        <v>161</v>
      </c>
      <c r="C8" s="25" t="n">
        <f aca="false">'8. Margem'!B15</f>
        <v>14794.82235</v>
      </c>
      <c r="D8" s="26" t="n">
        <f aca="false">C8*12</f>
        <v>177537.8682</v>
      </c>
    </row>
    <row r="9" customFormat="false" ht="15" hidden="false" customHeight="true" outlineLevel="0" collapsed="false">
      <c r="A9" s="27" t="s">
        <v>162</v>
      </c>
      <c r="B9" s="28"/>
      <c r="C9" s="30" t="n">
        <f aca="false">SUM(C5:C8)</f>
        <v>27139.73121</v>
      </c>
      <c r="D9" s="30" t="n">
        <f aca="false">SUM(D5:D8)</f>
        <v>325676.77452</v>
      </c>
    </row>
    <row r="11" customFormat="false" ht="15" hidden="false" customHeight="true" outlineLevel="0" collapsed="false">
      <c r="A11" s="31" t="s">
        <v>163</v>
      </c>
      <c r="B11" s="31"/>
      <c r="C11" s="31"/>
      <c r="D11" s="31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164</v>
      </c>
    </row>
    <row r="2" customFormat="false" ht="15" hidden="false" customHeight="true" outlineLevel="0" collapsed="false">
      <c r="A2" s="3" t="s">
        <v>165</v>
      </c>
    </row>
    <row r="4" customFormat="false" ht="15" hidden="false" customHeight="true" outlineLevel="0" collapsed="false">
      <c r="A4" s="4" t="s">
        <v>124</v>
      </c>
      <c r="B4" s="4" t="s">
        <v>3</v>
      </c>
    </row>
    <row r="5" customFormat="false" ht="19.5" hidden="false" customHeight="true" outlineLevel="0" collapsed="false">
      <c r="A5" s="5" t="s">
        <v>166</v>
      </c>
      <c r="B5" s="5"/>
    </row>
    <row r="6" customFormat="false" ht="15" hidden="false" customHeight="true" outlineLevel="0" collapsed="false">
      <c r="A6" s="6" t="s">
        <v>167</v>
      </c>
      <c r="B6" s="24" t="n">
        <f aca="false">Premissas!B22</f>
        <v>56</v>
      </c>
    </row>
    <row r="7" customFormat="false" ht="15" hidden="false" customHeight="true" outlineLevel="0" collapsed="false">
      <c r="A7" s="6" t="s">
        <v>168</v>
      </c>
      <c r="B7" s="34" t="n">
        <f aca="false">Premissas!B23</f>
        <v>0.08</v>
      </c>
    </row>
    <row r="8" customFormat="false" ht="15" hidden="false" customHeight="true" outlineLevel="0" collapsed="false">
      <c r="A8" s="6" t="s">
        <v>169</v>
      </c>
      <c r="B8" s="44" t="n">
        <f aca="false">B6*B7</f>
        <v>4.48</v>
      </c>
    </row>
    <row r="9" customFormat="false" ht="15" hidden="false" customHeight="true" outlineLevel="0" collapsed="false">
      <c r="A9" s="6" t="s">
        <v>170</v>
      </c>
      <c r="B9" s="25" t="n">
        <f aca="false">Premissas!B24*Premissas!B25</f>
        <v>393.132</v>
      </c>
    </row>
    <row r="10" customFormat="false" ht="15" hidden="false" customHeight="true" outlineLevel="0" collapsed="false">
      <c r="A10" s="27" t="s">
        <v>171</v>
      </c>
      <c r="B10" s="30" t="n">
        <f aca="false">B8*B9</f>
        <v>1761.23136</v>
      </c>
    </row>
    <row r="12" customFormat="false" ht="19.5" hidden="false" customHeight="true" outlineLevel="0" collapsed="false">
      <c r="A12" s="38" t="s">
        <v>172</v>
      </c>
      <c r="B12" s="5"/>
    </row>
    <row r="13" customFormat="false" ht="15" hidden="false" customHeight="true" outlineLevel="0" collapsed="false">
      <c r="A13" s="6" t="s">
        <v>173</v>
      </c>
      <c r="B13" s="24" t="n">
        <f aca="false">'6. Logística'!B8</f>
        <v>80.85</v>
      </c>
    </row>
    <row r="14" customFormat="false" ht="15" hidden="false" customHeight="true" outlineLevel="0" collapsed="false">
      <c r="A14" s="6" t="s">
        <v>174</v>
      </c>
      <c r="B14" s="37" t="n">
        <f aca="false">B13*Premissas!B16</f>
        <v>40.425</v>
      </c>
    </row>
    <row r="15" customFormat="false" ht="15" hidden="false" customHeight="true" outlineLevel="0" collapsed="false">
      <c r="A15" s="27" t="s">
        <v>175</v>
      </c>
      <c r="B15" s="45" t="n">
        <f aca="false">B14*Premissas!B15*Premissas!B25</f>
        <v>14794.82235</v>
      </c>
    </row>
    <row r="17" customFormat="false" ht="19.5" hidden="false" customHeight="true" outlineLevel="0" collapsed="false">
      <c r="A17" s="38" t="s">
        <v>176</v>
      </c>
      <c r="B17" s="5"/>
    </row>
    <row r="18" customFormat="false" ht="15" hidden="false" customHeight="true" outlineLevel="0" collapsed="false">
      <c r="A18" s="27" t="s">
        <v>120</v>
      </c>
      <c r="B18" s="30" t="n">
        <f aca="false">B10+B15</f>
        <v>16556.05371</v>
      </c>
    </row>
    <row r="19" customFormat="false" ht="15" hidden="false" customHeight="true" outlineLevel="0" collapsed="false">
      <c r="A19" s="27" t="s">
        <v>121</v>
      </c>
      <c r="B19" s="30" t="n">
        <f aca="false">B18*12</f>
        <v>198672.64452</v>
      </c>
    </row>
    <row r="21" customFormat="false" ht="30" hidden="false" customHeight="true" outlineLevel="0" collapsed="false">
      <c r="A21" s="31" t="s">
        <v>177</v>
      </c>
      <c r="B21" s="31"/>
    </row>
  </sheetData>
  <mergeCells count="1"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2" t="s">
        <v>178</v>
      </c>
    </row>
    <row r="2" customFormat="false" ht="15" hidden="false" customHeight="true" outlineLevel="0" collapsed="false">
      <c r="A2" s="3" t="s">
        <v>179</v>
      </c>
    </row>
    <row r="4" customFormat="false" ht="15" hidden="false" customHeight="true" outlineLevel="0" collapsed="false">
      <c r="A4" s="4" t="s">
        <v>180</v>
      </c>
      <c r="B4" s="4" t="s">
        <v>3</v>
      </c>
    </row>
    <row r="5" customFormat="false" ht="15" hidden="false" customHeight="true" outlineLevel="0" collapsed="false">
      <c r="A5" s="6" t="s">
        <v>181</v>
      </c>
      <c r="B5" s="25" t="n">
        <f aca="false">'2. Dimensionamento'!E9</f>
        <v>97000</v>
      </c>
    </row>
    <row r="6" customFormat="false" ht="15" hidden="false" customHeight="true" outlineLevel="0" collapsed="false">
      <c r="A6" s="6" t="s">
        <v>182</v>
      </c>
      <c r="B6" s="25" t="n">
        <f aca="false">'3. Manutenção'!D10</f>
        <v>74160</v>
      </c>
    </row>
    <row r="7" customFormat="false" ht="15" hidden="false" customHeight="true" outlineLevel="0" collapsed="false">
      <c r="A7" s="27" t="s">
        <v>183</v>
      </c>
      <c r="B7" s="30" t="n">
        <f aca="false">B5+B6</f>
        <v>171160</v>
      </c>
    </row>
    <row r="9" customFormat="false" ht="15" hidden="false" customHeight="true" outlineLevel="0" collapsed="false">
      <c r="A9" s="4" t="s">
        <v>184</v>
      </c>
      <c r="B9" s="4" t="s">
        <v>3</v>
      </c>
    </row>
    <row r="10" customFormat="false" ht="15" hidden="false" customHeight="true" outlineLevel="0" collapsed="false">
      <c r="A10" s="6" t="s">
        <v>185</v>
      </c>
      <c r="B10" s="25" t="n">
        <f aca="false">'7. Financeiro'!D5+'7. Financeiro'!D6</f>
        <v>127004.13</v>
      </c>
    </row>
    <row r="11" customFormat="false" ht="15" hidden="false" customHeight="true" outlineLevel="0" collapsed="false">
      <c r="A11" s="6" t="s">
        <v>186</v>
      </c>
      <c r="B11" s="25" t="n">
        <f aca="false">'8. Margem'!B19</f>
        <v>198672.64452</v>
      </c>
    </row>
    <row r="12" customFormat="false" ht="15" hidden="false" customHeight="true" outlineLevel="0" collapsed="false">
      <c r="A12" s="27" t="s">
        <v>187</v>
      </c>
      <c r="B12" s="46" t="n">
        <f aca="false">'7. Financeiro'!D9</f>
        <v>325676.77452</v>
      </c>
    </row>
    <row r="14" customFormat="false" ht="15" hidden="false" customHeight="true" outlineLevel="0" collapsed="false">
      <c r="A14" s="4" t="s">
        <v>188</v>
      </c>
      <c r="B14" s="4" t="s">
        <v>3</v>
      </c>
    </row>
    <row r="15" customFormat="false" ht="15" hidden="false" customHeight="true" outlineLevel="0" collapsed="false">
      <c r="A15" s="27" t="s">
        <v>189</v>
      </c>
      <c r="B15" s="30" t="n">
        <f aca="false">B12-B7</f>
        <v>154516.77452</v>
      </c>
    </row>
    <row r="16" customFormat="false" ht="15" hidden="false" customHeight="true" outlineLevel="0" collapsed="false">
      <c r="A16" s="27" t="s">
        <v>190</v>
      </c>
      <c r="B16" s="36" t="n">
        <f aca="false">(B12-B7)/B7</f>
        <v>0.902762178780089</v>
      </c>
    </row>
    <row r="17" customFormat="false" ht="15" hidden="false" customHeight="true" outlineLevel="0" collapsed="false">
      <c r="A17" s="27" t="s">
        <v>191</v>
      </c>
      <c r="B17" s="47" t="n">
        <f aca="false">B5/'7. Financeiro'!C9</f>
        <v>3.57409582465795</v>
      </c>
    </row>
    <row r="18" customFormat="false" ht="15" hidden="false" customHeight="true" outlineLevel="0" collapsed="false">
      <c r="A18" s="6" t="s">
        <v>192</v>
      </c>
      <c r="B18" s="37" t="n">
        <f aca="false">'5. Pessoal'!B16</f>
        <v>1.17139285714286</v>
      </c>
    </row>
    <row r="20" customFormat="false" ht="45" hidden="false" customHeight="true" outlineLevel="0" collapsed="false">
      <c r="A20" s="21" t="s">
        <v>193</v>
      </c>
      <c r="B20" s="21"/>
    </row>
  </sheetData>
  <mergeCells count="1"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2026-09-20T19:26:33Z</dcterms:created>
  <dc:creator>openpyxl</dc:creator>
  <dc:description/>
  <dc:language>en-US</dc:language>
  <cp:lastModifiedBy/>
  <dcterms:modified xsi:type="dcterms:W3CDTF">2026-09-20T19:53:24Z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